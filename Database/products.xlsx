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05618a2b1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5f14e78ead604b21"/>
    <x:sheet xmlns:r="http://schemas.openxmlformats.org/officeDocument/2006/relationships" name="Instructions" sheetId="2" r:id="Rce60569a5626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1F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24fdf33cb4b92" /><Relationship Type="http://schemas.openxmlformats.org/officeDocument/2006/relationships/theme" Target="/xl/theme/theme1.xml" Id="Red6abd1187b04dcf" /><Relationship Type="http://schemas.openxmlformats.org/officeDocument/2006/relationships/sharedStrings" Target="/xl/sharedStrings.xml" Id="R43fbc3c64868409a" /><Relationship Type="http://schemas.openxmlformats.org/officeDocument/2006/relationships/worksheet" Target="/xl/worksheets/sheet1.xml" Id="R5f14e78ead604b21" /><Relationship Type="http://schemas.openxmlformats.org/officeDocument/2006/relationships/worksheet" Target="/xl/worksheets/sheet2.xml" Id="Rce60569a56264040" /></Relationships>
</file>

<file path=xl/tables/table1.xml><?xml version="1.0" encoding="utf-8"?>
<x:table xmlns:x="http://schemas.openxmlformats.org/spreadsheetml/2006/main" id="1" name="ProductsTable" displayName="ProductsTable" ref="A2:L7" headerRowCount="1">
  <x:tableColumns count="12">
    <x:tableColumn id="1" name="Brand"/>
    <x:tableColumn id="2" name="Product"/>
    <x:tableColumn id="3" name="Configuration"/>
    <x:tableColumn id="4" name="Width_mm"/>
    <x:tableColumn id="5" name="Depth_mm"/>
    <x:tableColumn id="6" name="Height_mm"/>
    <x:tableColumn id="7" name="Footprint_m2"/>
    <x:tableColumn id="8" name="Volume_m3"/>
    <x:tableColumn id="9" name="Asset_primary"/>
    <x:tableColumn id="10" name="Asset_secondary"/>
    <x:tableColumn id="11" name="Notes"/>
    <x:tableColumn id="12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88d6d76fb1473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3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2" hidden="0" customWidth="1"/>
    <x:col min="10" max="10" width="32" hidden="0" customWidth="1"/>
    <x:col min="11" max="11" width="38" hidden="0" customWidth="1"/>
    <x:col min="12" max="12" width="38" hidden="0" customWidth="1"/>
  </x:cols>
  <x:sheetData>
    <x:row r="1" ht="28" customHeight="1">
      <x:c r="A1" s="5" t="str">
        <x:v>Residential ESS Benchmark Toolkit – Product Database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Brand</x:v>
      </x:c>
      <x:c r="B2" s="14" t="str">
        <x:v>Product</x:v>
      </x:c>
      <x:c r="C2" s="14" t="str">
        <x:v>Configuration</x:v>
      </x:c>
      <x:c r="D2" s="14" t="str">
        <x:v>Width_mm</x:v>
      </x:c>
      <x:c r="E2" s="14" t="str">
        <x:v>Depth_mm</x:v>
      </x:c>
      <x:c r="F2" s="14" t="str">
        <x:v>Height_mm</x:v>
      </x:c>
      <x:c r="G2" s="14" t="str">
        <x:v>Footprint_m2</x:v>
      </x:c>
      <x:c r="H2" s="14" t="str">
        <x:v>Volume_m3</x:v>
      </x:c>
      <x:c r="I2" s="14" t="str">
        <x:v>Asset_primary</x:v>
      </x:c>
      <x:c r="J2" s="14" t="str">
        <x:v>Asset_secondary</x:v>
      </x:c>
      <x:c r="K2" s="14" t="str">
        <x:v>Notes</x:v>
      </x:c>
      <x:c r="L2" s="14" t="str">
        <x:v>Source</x:v>
      </x:c>
    </x:row>
    <x:row r="3">
      <x:c r="A3" s="24" t="str">
        <x:v>Huawei</x:v>
      </x:c>
      <x:c r="B3" s="24" t="str">
        <x:v>LUTERRA S2</x:v>
      </x:c>
      <x:c r="C3" s="24" t="str">
        <x:v>10 kW three-phase inverter + 1 battery pack</x:v>
      </x:c>
      <x:c r="D3" s="25" t="n">
        <x:v>590</x:v>
      </x:c>
      <x:c r="E3" s="25" t="n">
        <x:v>250</x:v>
      </x:c>
      <x:c r="F3" s="25" t="n">
        <x:v>650</x:v>
      </x:c>
      <x:c r="G3" s="26" t="n">
        <x:f>D3*E3/1000000</x:f>
        <x:v>0.1475</x:v>
      </x:c>
      <x:c r="H3" s="26" t="n">
        <x:f>D3*E3*F3/1000000000</x:f>
        <x:v>0.095875</x:v>
      </x:c>
      <x:c r="I3" s="24" t="str">
        <x:v>Assets/Huawei/Product.jpeg</x:v>
      </x:c>
      <x:c r="J3" s="24" t="str"/>
      <x:c r="K3" s="24" t="str">
        <x:v>Inverter 590×250×350 mm + battery 590×250×300 mm</x:v>
      </x:c>
      <x:c r="L3" s="24" t="str">
        <x:v>User-confirmed benchmark dimensions</x:v>
      </x:c>
    </x:row>
    <x:row r="4">
      <x:c r="A4" s="24" t="str">
        <x:v>Sigenergy</x:v>
      </x:c>
      <x:c r="B4" s="24" t="str">
        <x:v>SigenStor Neo</x:v>
      </x:c>
      <x:c r="C4" s="24" t="str">
        <x:v>10 kW three-phase inverter + 1 battery pack</x:v>
      </x:c>
      <x:c r="D4" s="25" t="n">
        <x:v>800</x:v>
      </x:c>
      <x:c r="E4" s="25" t="n">
        <x:v>240</x:v>
      </x:c>
      <x:c r="F4" s="25" t="n">
        <x:v>655</x:v>
      </x:c>
      <x:c r="G4" s="26" t="n">
        <x:f>D4*E4/1000000</x:f>
        <x:v>0.192</x:v>
      </x:c>
      <x:c r="H4" s="26" t="n">
        <x:f>D4*E4*F4/1000000000</x:f>
        <x:v>0.12576</x:v>
      </x:c>
      <x:c r="I4" s="24" t="str">
        <x:v>Assets/Sigenergy/Product.png</x:v>
      </x:c>
      <x:c r="J4" s="24" t="str"/>
      <x:c r="K4" s="24" t="str">
        <x:v>One-controller + one-battery benchmark envelope</x:v>
      </x:c>
      <x:c r="L4" s="24" t="str">
        <x:v>User-confirmed benchmark dimensions</x:v>
      </x:c>
    </x:row>
    <x:row r="5">
      <x:c r="A5" s="24" t="str">
        <x:v>FoxESS</x:v>
      </x:c>
      <x:c r="B5" s="24" t="str">
        <x:v>HQ3 + EQ5000</x:v>
      </x:c>
      <x:c r="C5" s="24" t="str">
        <x:v>10 kW three-phase inverter + 1 battery pack</x:v>
      </x:c>
      <x:c r="D5" s="25" t="n">
        <x:v>570</x:v>
      </x:c>
      <x:c r="E5" s="25" t="n">
        <x:v>380</x:v>
      </x:c>
      <x:c r="F5" s="25" t="n">
        <x:v>795</x:v>
      </x:c>
      <x:c r="G5" s="26" t="n">
        <x:f>D5*E5/1000000</x:f>
        <x:v>0.2166</x:v>
      </x:c>
      <x:c r="H5" s="26" t="n">
        <x:f>D5*E5*F5/1000000000</x:f>
        <x:v>0.172197</x:v>
      </x:c>
      <x:c r="I5" s="24" t="str">
        <x:v>Assets/FoxESS/Product.png</x:v>
      </x:c>
      <x:c r="J5" s="24" t="str"/>
      <x:c r="K5" s="24" t="str">
        <x:v>Stackable AIO benchmark envelope</x:v>
      </x:c>
      <x:c r="L5" s="24" t="str">
        <x:v>User-confirmed benchmark dimensions</x:v>
      </x:c>
    </x:row>
    <x:row r="6">
      <x:c r="A6" s="24" t="str">
        <x:v>SolarEdge</x:v>
      </x:c>
      <x:c r="B6" s="24" t="str">
        <x:v>Nexis 3-phase + Nexis Battery</x:v>
      </x:c>
      <x:c r="C6" s="24" t="str">
        <x:v>10 kW three-phase inverter + 1 battery pack</x:v>
      </x:c>
      <x:c r="D6" s="25" t="n">
        <x:v>668</x:v>
      </x:c>
      <x:c r="E6" s="25" t="n">
        <x:v>200</x:v>
      </x:c>
      <x:c r="F6" s="25" t="n">
        <x:v>967</x:v>
      </x:c>
      <x:c r="G6" s="26" t="n">
        <x:f>D6*E6/1000000</x:f>
        <x:v>0.1336</x:v>
      </x:c>
      <x:c r="H6" s="26" t="n">
        <x:f>D6*E6*F6/1000000000</x:f>
        <x:v>0.1291912</x:v>
      </x:c>
      <x:c r="I6" s="24" t="str">
        <x:v>Assets/SolarEdge/Battery.png</x:v>
      </x:c>
      <x:c r="J6" s="24" t="str">
        <x:v>Assets/SolarEdge/Inverter.png</x:v>
      </x:c>
      <x:c r="K6" s="24" t="str">
        <x:v>Inverter and battery are combined vertically in the generator</x:v>
      </x:c>
      <x:c r="L6" s="24" t="str">
        <x:v>User-confirmed benchmark dimensions</x:v>
      </x:c>
    </x:row>
    <x:row r="7">
      <x:c r="A7" s="24" t="str">
        <x:v>EcoFlow</x:v>
      </x:c>
      <x:c r="B7" s="24" t="str">
        <x:v>PowerOcean 2 Three-Phase</x:v>
      </x:c>
      <x:c r="C7" s="24" t="str">
        <x:v>10 kW three-phase inverter + 1 battery pack</x:v>
      </x:c>
      <x:c r="D7" s="25" t="n">
        <x:v>680</x:v>
      </x:c>
      <x:c r="E7" s="25" t="n">
        <x:v>203</x:v>
      </x:c>
      <x:c r="F7" s="25" t="n">
        <x:v>967</x:v>
      </x:c>
      <x:c r="G7" s="26" t="n">
        <x:f>D7*E7/1000000</x:f>
        <x:v>0.13804</x:v>
      </x:c>
      <x:c r="H7" s="26" t="n">
        <x:f>D7*E7*F7/1000000000</x:f>
        <x:v>0.13348468</x:v>
      </x:c>
      <x:c r="I7" s="24" t="str">
        <x:v>Assets/EcoFlow/Product.png</x:v>
      </x:c>
      <x:c r="J7" s="24" t="str"/>
      <x:c r="K7" s="24" t="str">
        <x:v>One-pack benchmark envelope</x:v>
      </x:c>
      <x:c r="L7" s="24" t="str">
        <x:v>User-confirmed benchmark dimensions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f88d6d76fb147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32" hidden="0" customWidth="1"/>
    <x:col min="4" max="4" width="27" hidden="0" customWidth="1"/>
    <x:col min="5" max="5" width="38" hidden="0" customWidth="1"/>
    <x:col min="6" max="6" width="30" hidden="0" customWidth="1"/>
  </x:cols>
  <x:sheetData>
    <x:row r="1" ht="28" customHeight="1">
      <x:c r="A1" s="3" t="str">
        <x:v>How to update the benchmark</x:v>
      </x:c>
      <x:c r="B1" s="3"/>
      <x:c r="C1" s="3"/>
      <x:c r="D1" s="3"/>
      <x:c r="E1" s="3"/>
      <x:c r="F1" s="3"/>
    </x:row>
    <x:row r="3">
      <x:c r="A3" s="13" t="str">
        <x:v>Step</x:v>
      </x:c>
      <x:c r="B3" s="13" t="str">
        <x:v>Action</x:v>
      </x:c>
      <x:c r="C3" s="13" t="str">
        <x:v>Required field</x:v>
      </x:c>
      <x:c r="D3" s="13" t="str">
        <x:v>Example</x:v>
      </x:c>
      <x:c r="E3" s="13" t="str">
        <x:v>Automation effect</x:v>
      </x:c>
      <x:c r="F3" s="13" t="str">
        <x:v>Notes</x:v>
      </x:c>
    </x:row>
    <x:row r="4">
      <x:c r="A4" s="24" t="n">
        <x:v>1</x:v>
      </x:c>
      <x:c r="B4" s="24" t="str">
        <x:v>Update dimensions</x:v>
      </x:c>
      <x:c r="C4" s="24" t="str">
        <x:v>Width_mm / Depth_mm / Height_mm</x:v>
      </x:c>
      <x:c r="D4" s="24" t="str">
        <x:v>590 / 250 / 650</x:v>
      </x:c>
      <x:c r="E4" s="24" t="str">
        <x:v>Rankings and footprint/volume recalculate</x:v>
      </x:c>
      <x:c r="F4" s="24" t="str">
        <x:v>Use total system envelope</x:v>
      </x:c>
    </x:row>
    <x:row r="5">
      <x:c r="A5" s="24" t="n">
        <x:v>2</x:v>
      </x:c>
      <x:c r="B5" s="24" t="str">
        <x:v>Replace official images</x:v>
      </x:c>
      <x:c r="C5" s="24" t="str">
        <x:v>Asset_primary / Asset_secondary</x:v>
      </x:c>
      <x:c r="D5" s="24" t="str">
        <x:v>Assets/Huawei/Product.jpeg</x:v>
      </x:c>
      <x:c r="E5" s="24" t="str">
        <x:v>PPT uses the new image</x:v>
      </x:c>
      <x:c r="F5" s="24" t="str">
        <x:v>No AI redraw</x:v>
      </x:c>
    </x:row>
    <x:row r="6">
      <x:c r="A6" s="24" t="n">
        <x:v>3</x:v>
      </x:c>
      <x:c r="B6" s="24" t="str">
        <x:v>Run generator</x:v>
      </x:c>
      <x:c r="C6" s="24" t="str">
        <x:v>python Scripts/benchmark_generator.py</x:v>
      </x:c>
      <x:c r="D6" s="24" t="str"/>
      <x:c r="E6" s="24" t="str">
        <x:v>Creates Output/Residential_ESS_Dimension_Benchmark.pptx</x:v>
      </x:c>
      <x:c r="F6" s="24" t="str">
        <x:v>GitHub Actions can run it automatically</x:v>
      </x:c>
    </x:row>
    <x:row r="7">
      <x:c r="A7" s="24" t="n">
        <x:v>4</x:v>
      </x:c>
      <x:c r="B7" s="24" t="str">
        <x:v>Commit changes</x:v>
      </x:c>
      <x:c r="C7" s="24" t="str">
        <x:v>GitHub web upload or edit</x:v>
      </x:c>
      <x:c r="D7" s="24" t="str"/>
      <x:c r="E7" s="24" t="str">
        <x:v>Cloud workflow regenerates output</x:v>
      </x:c>
      <x:c r="F7" s="24" t="str">
        <x:v>Enable Actions write permission</x:v>
      </x:c>
    </x:row>
  </x:sheetData>
  <x:mergeCells>
    <x:mergeCell ref="A1:F1"/>
  </x:mergeCells>
  <x:pageMargins left="0.7" right="0.7" top="0.75" bottom="0.75" header="0.3" footer="0.3"/>
</x:worksheet>
</file>